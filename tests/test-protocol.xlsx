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tomated" sheetId="2" state="visible" r:id="rId2"/>
    <sheet xmlns:r="http://schemas.openxmlformats.org/officeDocument/2006/relationships" name="Manual" sheetId="3" state="visible" r:id="rId3"/>
    <sheet xmlns:r="http://schemas.openxmlformats.org/officeDocument/2006/relationships" name="Traceability"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A5F"/>
      <sz val="16"/>
    </font>
    <font>
      <name val="Arial"/>
      <i val="1"/>
      <color rgb="00666666"/>
      <sz val="10"/>
    </font>
    <font>
      <name val="Arial"/>
      <b val="1"/>
      <color rgb="00FFFFFF"/>
      <sz val="10"/>
    </font>
    <font>
      <name val="Arial"/>
      <i val="1"/>
      <color rgb="00808080"/>
      <sz val="10"/>
    </font>
    <font>
      <name val="Arial"/>
      <sz val="10"/>
    </font>
    <font>
      <name val="Arial"/>
      <b val="1"/>
      <sz val="10"/>
    </font>
    <font>
      <name val="Arial"/>
      <b val="1"/>
      <sz val="11"/>
    </font>
  </fonts>
  <fills count="5">
    <fill>
      <patternFill/>
    </fill>
    <fill>
      <patternFill patternType="gray125"/>
    </fill>
    <fill>
      <patternFill patternType="solid">
        <fgColor rgb="001F3A5F"/>
      </patternFill>
    </fill>
    <fill>
      <patternFill patternType="solid">
        <fgColor rgb="00F2F2F2"/>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6" fillId="0" borderId="0" pivotButton="0" quotePrefix="0" xfId="0"/>
    <xf numFmtId="0" fontId="5" fillId="0" borderId="0" pivotButton="0" quotePrefix="0" xfId="0"/>
    <xf numFmtId="0" fontId="5" fillId="4" borderId="1" pivotButton="0" quotePrefix="0" xfId="0"/>
    <xf numFmtId="0" fontId="3" fillId="2" borderId="1" pivotButton="0" quotePrefix="0" xfId="0"/>
    <xf numFmtId="0" fontId="6" fillId="0" borderId="1" pivotButton="0" quotePrefix="0" xfId="0"/>
    <xf numFmtId="0" fontId="5" fillId="0" borderId="1" applyAlignment="1" pivotButton="0" quotePrefix="0" xfId="0">
      <alignment horizontal="center"/>
    </xf>
    <xf numFmtId="0" fontId="6" fillId="0" borderId="1" applyAlignment="1" pivotButton="0" quotePrefix="0" xfId="0">
      <alignment horizontal="center"/>
    </xf>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dxfs count="3">
    <dxf>
      <font>
        <name val="Arial"/>
        <b val="1"/>
        <color rgb="00006100"/>
        <sz val="10"/>
      </font>
      <fill>
        <patternFill patternType="solid">
          <fgColor rgb="00C6EFCE"/>
        </patternFill>
      </fill>
    </dxf>
    <dxf>
      <font>
        <name val="Arial"/>
        <b val="1"/>
        <color rgb="009C0006"/>
        <sz val="10"/>
      </font>
      <fill>
        <patternFill patternType="solid">
          <fgColor rgb="00FFC7CE"/>
        </patternFill>
      </fill>
    </dxf>
    <dxf>
      <font>
        <name val="Arial"/>
        <b val="1"/>
        <color rgb="009C5700"/>
        <sz val="1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6" customWidth="1" min="1" max="1"/>
    <col width="58" customWidth="1" min="2" max="2"/>
    <col width="12" customWidth="1" min="3" max="3"/>
    <col width="12" customWidth="1" min="4" max="4"/>
    <col width="12" customWidth="1" min="5" max="5"/>
  </cols>
  <sheetData>
    <row r="1">
      <c r="A1" s="1" t="inlineStr">
        <is>
          <t>Lead Router: Test Protocol and Results</t>
        </is>
      </c>
    </row>
    <row r="2">
      <c r="A2" s="2" t="inlineStr">
        <is>
          <t>Demo build by Solvant Labs for a B2B IT services scenario. Yellow cells are for you to fill in; everything else is calculated.</t>
        </is>
      </c>
    </row>
    <row r="3"/>
    <row r="4">
      <c r="A4" s="3" t="inlineStr">
        <is>
          <t>Test run details</t>
        </is>
      </c>
    </row>
    <row r="5">
      <c r="A5" s="4" t="inlineStr">
        <is>
          <t>Executed by</t>
        </is>
      </c>
      <c r="B5" s="5" t="inlineStr">
        <is>
          <t>Olaoluwa Ilesanmi (browser steps run with Claude in Chrome)</t>
        </is>
      </c>
    </row>
    <row r="6">
      <c r="A6" s="4" t="inlineStr">
        <is>
          <t>Date</t>
        </is>
      </c>
      <c r="B6" s="5" t="inlineStr">
        <is>
          <t>2026-10-05</t>
        </is>
      </c>
    </row>
    <row r="7">
      <c r="A7" s="4" t="inlineStr">
        <is>
          <t>Environment</t>
        </is>
      </c>
      <c r="B7" s="5" t="inlineStr">
        <is>
          <t>n8n Cloud; Neon Postgres; HubSpot free CRM; Slack; Google Sheets API; Gmail SMTP</t>
        </is>
      </c>
    </row>
    <row r="8">
      <c r="A8" s="4" t="inlineStr">
        <is>
          <t>Test Runner run ID</t>
        </is>
      </c>
      <c r="B8" s="5" t="inlineStr">
        <is>
          <t>tvo47hy (99 Test Runner execution 110)</t>
        </is>
      </c>
    </row>
    <row r="9">
      <c r="A9" s="4" t="inlineStr">
        <is>
          <t>Workflow versions tested</t>
        </is>
      </c>
      <c r="B9" s="5" t="inlineStr">
        <is>
          <t>02 version 1fb42d20; 01 version 97fcd65b (sheet poller off); 03 as published on 5 Oct 2026</t>
        </is>
      </c>
    </row>
    <row r="10"/>
    <row r="11">
      <c r="A11" s="3" t="inlineStr">
        <is>
          <t>Results</t>
        </is>
      </c>
    </row>
    <row r="12">
      <c r="B12" s="6" t="inlineStr">
        <is>
          <t>Total</t>
        </is>
      </c>
      <c r="C12" s="6" t="inlineStr">
        <is>
          <t>Passed</t>
        </is>
      </c>
      <c r="D12" s="6" t="inlineStr">
        <is>
          <t>Failed</t>
        </is>
      </c>
      <c r="E12" s="6" t="inlineStr">
        <is>
          <t>Not run yet</t>
        </is>
      </c>
    </row>
    <row r="13">
      <c r="A13" s="7" t="inlineStr">
        <is>
          <t>Automated</t>
        </is>
      </c>
      <c r="B13" s="8">
        <f>COUNTA(Automated!A6:A27)</f>
        <v/>
      </c>
      <c r="C13" s="8">
        <f>COUNTIF(Automated!G6:G27,"PASS")</f>
        <v/>
      </c>
      <c r="D13" s="8">
        <f>COUNTIF(Automated!G6:G27,"FAIL")</f>
        <v/>
      </c>
      <c r="E13" s="8">
        <f>B13-C13-D13</f>
        <v/>
      </c>
    </row>
    <row r="14">
      <c r="A14" s="7" t="inlineStr">
        <is>
          <t>Manual</t>
        </is>
      </c>
      <c r="B14" s="8">
        <f>COUNTA(Manual!A6:A16)</f>
        <v/>
      </c>
      <c r="C14" s="8">
        <f>COUNTIF(Manual!G6:G16,"PASS")</f>
        <v/>
      </c>
      <c r="D14" s="8">
        <f>COUNTIF(Manual!G6:G16,"FAIL")</f>
        <v/>
      </c>
      <c r="E14" s="8">
        <f>B14-C14-D14</f>
        <v/>
      </c>
    </row>
    <row r="15">
      <c r="A15" s="7" t="inlineStr">
        <is>
          <t>Total</t>
        </is>
      </c>
      <c r="B15" s="9">
        <f>SUM(B13:B14)</f>
        <v/>
      </c>
      <c r="C15" s="9">
        <f>SUM(C13:C14)</f>
        <v/>
      </c>
      <c r="D15" s="9">
        <f>SUM(D13:D14)</f>
        <v/>
      </c>
      <c r="E15" s="9">
        <f>SUM(E13:E14)</f>
        <v/>
      </c>
    </row>
    <row r="16"/>
    <row r="17">
      <c r="A17" s="3" t="inlineStr">
        <is>
          <t>Overall status</t>
        </is>
      </c>
      <c r="B17" s="10">
        <f>IF(D15&gt;0,"FAILURES TO FIX",IF(E15&gt;0,"IN PROGRESS","ALL PASSED"))</f>
        <v/>
      </c>
    </row>
    <row r="18">
      <c r="A18" s="3" t="inlineStr">
        <is>
          <t>Acceptance criteria met</t>
        </is>
      </c>
      <c r="B18" s="10">
        <f>COUNTIF(Traceability!M5:M13,"Met")&amp;" of "&amp;COUNTA(Traceability!A5:A13)</f>
        <v/>
      </c>
    </row>
    <row r="19"/>
    <row r="20">
      <c r="A20" s="3" t="inlineStr">
        <is>
          <t>How to use this workbook</t>
        </is>
      </c>
    </row>
    <row r="21">
      <c r="A21" s="4" t="inlineStr">
        <is>
          <t>1. Run workflow 99 - Test Runner with every rep available, then copy each result into the Automated tab.</t>
        </is>
      </c>
    </row>
    <row r="22">
      <c r="A22" s="4" t="inlineStr">
        <is>
          <t>2. Work through the Manual tab in order; M-03 to M-07 change settings, so put each one back afterwards.</t>
        </is>
      </c>
    </row>
    <row r="23">
      <c r="A23" s="4" t="inlineStr">
        <is>
          <t>3. Save each screenshot under its Evidence file name; they are also your portfolio images.</t>
        </is>
      </c>
    </row>
    <row r="24">
      <c r="A24" s="4" t="inlineStr">
        <is>
          <t>4. When Overall status shows ALL PASSED, fill in the run details above and keep a PDF copy with the repo.</t>
        </is>
      </c>
    </row>
  </sheetData>
  <conditionalFormatting sqref="B17">
    <cfRule type="cellIs" priority="1" operator="equal" dxfId="0">
      <formula>"ALL PASSED"</formula>
    </cfRule>
    <cfRule type="cellIs" priority="2" operator="equal" dxfId="1">
      <formula>"FAILURES TO FIX"</formula>
    </cfRule>
    <cfRule type="cellIs" priority="3" operator="equal" dxfId="2">
      <formula>"IN PROGRESS"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4" customWidth="1" min="2" max="2"/>
    <col width="38" customWidth="1" min="3" max="3"/>
    <col width="52" customWidth="1" min="4" max="4"/>
    <col width="13" customWidth="1" min="5" max="5"/>
    <col width="46" customWidth="1" min="6" max="6"/>
    <col width="11" customWidth="1" min="7" max="7"/>
    <col width="24" customWidth="1" min="8" max="8"/>
  </cols>
  <sheetData>
    <row r="1">
      <c r="A1" s="1" t="inlineStr">
        <is>
          <t>Automated tests (workflow 99 - Test Runner)</t>
        </is>
      </c>
    </row>
    <row r="2" ht="30" customHeight="1">
      <c r="A2" s="11" t="inlineStr">
        <is>
          <t>Fill in the yellow columns after a run. Copy each Actual result from the view v_latest_test_run in Adminer (or the Evaluate Results node in n8n), then set Pass/Fail to PASS or FAIL. Row 5 is an example; leave it as is.</t>
        </is>
      </c>
    </row>
    <row r="3"/>
    <row r="4">
      <c r="A4" s="12" t="inlineStr">
        <is>
          <t>Test ID</t>
        </is>
      </c>
      <c r="B4" s="12" t="inlineStr">
        <is>
          <t>Scenario</t>
        </is>
      </c>
      <c r="C4" s="12" t="inlineStr">
        <is>
          <t>Input</t>
        </is>
      </c>
      <c r="D4" s="12" t="inlineStr">
        <is>
          <t>Expected result</t>
        </is>
      </c>
      <c r="E4" s="12" t="inlineStr">
        <is>
          <t>Acceptance criteria</t>
        </is>
      </c>
      <c r="F4" s="12" t="inlineStr">
        <is>
          <t>Actual result</t>
        </is>
      </c>
      <c r="G4" s="12" t="inlineStr">
        <is>
          <t>Pass/Fail</t>
        </is>
      </c>
      <c r="H4" s="12" t="inlineStr">
        <is>
          <t>Notes</t>
        </is>
      </c>
    </row>
    <row r="5">
      <c r="A5" s="13" t="inlineStr">
        <is>
          <t>EXAMPLE</t>
        </is>
      </c>
      <c r="B5" s="13" t="inlineStr">
        <is>
          <t>Clean lead in an East state is routed by territory</t>
        </is>
      </c>
      <c r="C5" s="13" t="inlineStr">
        <is>
          <t>Massachusetts dental group</t>
        </is>
      </c>
      <c r="D5" s="13" t="inlineStr">
        <is>
          <t>routed; Cold; score 35; pool east</t>
        </is>
      </c>
      <c r="E5" s="13" t="inlineStr">
        <is>
          <t>AC-01</t>
        </is>
      </c>
      <c r="F5" s="13" t="inlineStr">
        <is>
          <t>event=routed, priority=Cold, score=35, pool=east, route_type=territory</t>
        </is>
      </c>
      <c r="G5" s="13" t="inlineStr">
        <is>
          <t>PASS</t>
        </is>
      </c>
      <c r="H5" s="13" t="inlineStr">
        <is>
          <t>Run t1abcd, 6 Oct 2026</t>
        </is>
      </c>
    </row>
    <row r="6">
      <c r="A6" s="14" t="inlineStr">
        <is>
          <t>TC-01</t>
        </is>
      </c>
      <c r="B6" s="15" t="inlineStr">
        <is>
          <t>Clean lead in an East state is routed by territory</t>
        </is>
      </c>
      <c r="C6" s="15" t="inlineStr">
        <is>
          <t>Massachusetts dental group, 35 staff, $8,000, Managed IT, 1-3 months</t>
        </is>
      </c>
      <c r="D6" s="15" t="inlineStr">
        <is>
          <t>routed; Cold; score 35; pool east; route territory; email lowercased; phone +16175550101; state MA; size 11-50; budget $5k-$15k</t>
        </is>
      </c>
      <c r="E6" s="15" t="inlineStr">
        <is>
          <t>AC-01</t>
        </is>
      </c>
      <c r="F6" s="16" t="inlineStr">
        <is>
          <t>event: routed, priority: Cold, score: 35, pool: east, route_type: territory, email: ava.martin+tvo47hy@harborviewdental.example.com, phone: +16175550101, state: MA, country: US, company_size_band: 11-50, budget_band: $5k-$15k</t>
        </is>
      </c>
      <c r="G6" s="16" t="inlineStr">
        <is>
          <t>PASS</t>
        </is>
      </c>
      <c r="H6" s="16" t="inlineStr">
        <is>
          <t>Run tvo47hy, 5 Oct 2026</t>
        </is>
      </c>
    </row>
    <row r="7">
      <c r="A7" s="14" t="inlineStr">
        <is>
          <t>TC-02</t>
        </is>
      </c>
      <c r="B7" s="15" t="inlineStr">
        <is>
          <t>Lead in a West state goes to the West pool</t>
        </is>
      </c>
      <c r="C7" s="15" t="inlineStr">
        <is>
          <t>Oregon brewery, 11-50 staff, $15k-$50k, Cybersecurity, 3-6 months</t>
        </is>
      </c>
      <c r="D7" s="15" t="inlineStr">
        <is>
          <t>routed; Warm; score 50; pool west; route territory</t>
        </is>
      </c>
      <c r="E7" s="15" t="inlineStr">
        <is>
          <t>AC-01</t>
        </is>
      </c>
      <c r="F7" s="16" t="inlineStr">
        <is>
          <t>event: routed, priority: Warm, score: 50, pool: west, route_type: territory, phone: +15035550102, state: OR, budget_band: $15k-$50k</t>
        </is>
      </c>
      <c r="G7" s="16" t="inlineStr">
        <is>
          <t>PASS</t>
        </is>
      </c>
      <c r="H7" s="16" t="inlineStr">
        <is>
          <t>Run tvo47hy, 5 Oct 2026</t>
        </is>
      </c>
    </row>
    <row r="8">
      <c r="A8" s="14" t="inlineStr">
        <is>
          <t>TC-03</t>
        </is>
      </c>
      <c r="B8" s="15" t="inlineStr">
        <is>
          <t>Hot lead goes to Enterprise regardless of territory</t>
        </is>
      </c>
      <c r="C8" s="15" t="inlineStr">
        <is>
          <t>Illinois health group, 450 staff, $75,000, Cloud Migration, ASAP, VP</t>
        </is>
      </c>
      <c r="D8" s="15" t="inlineStr">
        <is>
          <t>routed; Hot; score 105; pool enterprise; route score; size 201-1000; budget $50k+</t>
        </is>
      </c>
      <c r="E8" s="15" t="inlineStr">
        <is>
          <t>AC-01</t>
        </is>
      </c>
      <c r="F8" s="16" t="inlineStr">
        <is>
          <t>event: routed, priority: Hot, score: 105, pool: enterprise, route_type: score, company_size_band: 201-1000, budget_band: $50k+, phone: +13125550103</t>
        </is>
      </c>
      <c r="G8" s="16" t="inlineStr">
        <is>
          <t>PASS</t>
        </is>
      </c>
      <c r="H8" s="16" t="inlineStr">
        <is>
          <t>Run tvo47hy, 5 Oct 2026</t>
        </is>
      </c>
    </row>
    <row r="9">
      <c r="A9" s="14" t="inlineStr">
        <is>
          <t>TC-04</t>
        </is>
      </c>
      <c r="B9" s="15" t="inlineStr">
        <is>
          <t>Messy input is cleaned</t>
        </is>
      </c>
      <c r="C9" s="15" t="inlineStr">
        <is>
          <t>Spaces, lowercase names, 'new york', 'u.s.', phone with extension, '8' staff, 'under 5k', 'managed it', 'asap'</t>
        </is>
      </c>
      <c r="D9" s="15" t="inlineStr">
        <is>
          <t>routed; names Liam / O'Connor; email lowercased and trimmed; phone +12125550104; state NY; country US; size 1-10; budget Under $5k; service Managed IT Support; timeline ASAP</t>
        </is>
      </c>
      <c r="E9" s="15" t="inlineStr">
        <is>
          <t>AC-01</t>
        </is>
      </c>
      <c r="F9" s="16" t="inlineStr">
        <is>
          <t>event: routed, priority: Cold, score: 30, pool: east, first_name: Liam, last_name: O'Connor, email: liam.oconnor+tvo47hy@brightline.example.com, phone: +12125550104, state: NY, country: US, company_size_band: 1-10, budget_band: Under $5k, service_interest: Managed IT Support, timeline: ASAP</t>
        </is>
      </c>
      <c r="G9" s="16" t="inlineStr">
        <is>
          <t>PASS</t>
        </is>
      </c>
      <c r="H9" s="16" t="inlineStr">
        <is>
          <t>Run tvo47hy, 5 Oct 2026</t>
        </is>
      </c>
    </row>
    <row r="10">
      <c r="A10" s="14" t="inlineStr">
        <is>
          <t>TC-05</t>
        </is>
      </c>
      <c r="B10" s="15" t="inlineStr">
        <is>
          <t>Free email domain gets no business-email points</t>
        </is>
      </c>
      <c r="C10" s="15" t="inlineStr">
        <is>
          <t>Gmail address, owner of a 5-person firm, $5k-$15k, Microsoft 365</t>
        </is>
      </c>
      <c r="D10" s="15" t="inlineStr">
        <is>
          <t>routed; Cold; score 35; email_type free</t>
        </is>
      </c>
      <c r="E10" s="15" t="inlineStr">
        <is>
          <t>AC-01</t>
        </is>
      </c>
      <c r="F10" s="16" t="inlineStr">
        <is>
          <t>event: routed, priority: Cold, score: 35, pool: east, email_type: free, service_interest: Microsoft 365 Setup</t>
        </is>
      </c>
      <c r="G10" s="16" t="inlineStr">
        <is>
          <t>PASS</t>
        </is>
      </c>
      <c r="H10" s="16" t="inlineStr">
        <is>
          <t>Run tvo47hy, 5 Oct 2026</t>
        </is>
      </c>
    </row>
    <row r="11">
      <c r="A11" s="14" t="inlineStr">
        <is>
          <t>TC-06</t>
        </is>
      </c>
      <c r="B11" s="15" t="inlineStr">
        <is>
          <t>Lead outside the US goes to the Sales Manager</t>
        </is>
      </c>
      <c r="C11" s="15" t="inlineStr">
        <is>
          <t>French company, no state, 51-200 staff, Director</t>
        </is>
      </c>
      <c r="D11" s="15" t="inlineStr">
        <is>
          <t>routed; Warm; score 60; pool manager; route no_territory; rep Rachel Kim; phone +33142685300</t>
        </is>
      </c>
      <c r="E11" s="15" t="inlineStr">
        <is>
          <t>AC-01</t>
        </is>
      </c>
      <c r="F11" s="16" t="inlineStr">
        <is>
          <t>event: routed, priority: Warm, score: 60, pool: manager, route_type: no_territory, rep_id: rep_rachel, phone: +33142685300, country: France</t>
        </is>
      </c>
      <c r="G11" s="16" t="inlineStr">
        <is>
          <t>PASS</t>
        </is>
      </c>
      <c r="H11" s="16" t="inlineStr">
        <is>
          <t>Run tvo47hy, 5 Oct 2026</t>
        </is>
      </c>
    </row>
    <row r="12">
      <c r="A12" s="14" t="inlineStr">
        <is>
          <t>TC-07</t>
        </is>
      </c>
      <c r="B12" s="15" t="inlineStr">
        <is>
          <t>Second Hot lead rotates to the other Enterprise rep</t>
        </is>
      </c>
      <c r="C12" s="15" t="inlineStr">
        <is>
          <t>Georgia logistics, 1000+ staff, $50k+, CTO</t>
        </is>
      </c>
      <c r="D12" s="15" t="inlineStr">
        <is>
          <t>routed; Hot; score 115; pool enterprise; route score (balance across Enterprise reps is checked in TC-21)</t>
        </is>
      </c>
      <c r="E12" s="15" t="inlineStr">
        <is>
          <t>AC-04</t>
        </is>
      </c>
      <c r="F12" s="16" t="inlineStr">
        <is>
          <t>event: routed, priority: Hot, score: 115, pool: enterprise, route_type: score</t>
        </is>
      </c>
      <c r="G12" s="16" t="inlineStr">
        <is>
          <t>PASS</t>
        </is>
      </c>
      <c r="H12" s="16" t="inlineStr">
        <is>
          <t>Run tvo47hy, 5 Oct 2026</t>
        </is>
      </c>
    </row>
    <row r="13">
      <c r="A13" s="14" t="inlineStr">
        <is>
          <t>TC-08</t>
        </is>
      </c>
      <c r="B13" s="15" t="inlineStr">
        <is>
          <t>East lead for round-robin balance</t>
        </is>
      </c>
      <c r="C13" s="15" t="inlineStr">
        <is>
          <t>New Jersey CPA firm, 11-50 staff</t>
        </is>
      </c>
      <c r="D13" s="15" t="inlineStr">
        <is>
          <t>routed; Cold; score 35; pool east</t>
        </is>
      </c>
      <c r="E13" s="15" t="inlineStr">
        <is>
          <t>AC-04</t>
        </is>
      </c>
      <c r="F13" s="16" t="inlineStr">
        <is>
          <t>event: routed, priority: Cold, score: 35, pool: east, route_type: territory</t>
        </is>
      </c>
      <c r="G13" s="16" t="inlineStr">
        <is>
          <t>PASS</t>
        </is>
      </c>
      <c r="H13" s="16" t="inlineStr">
        <is>
          <t>Run tvo47hy, 5 Oct 2026</t>
        </is>
      </c>
    </row>
    <row r="14">
      <c r="A14" s="14" t="inlineStr">
        <is>
          <t>TC-09</t>
        </is>
      </c>
      <c r="B14" s="15" t="inlineStr">
        <is>
          <t>Budget range uses its midpoint</t>
        </is>
      </c>
      <c r="C14" s="15" t="inlineStr">
        <is>
          <t>Budget '10000-20000'</t>
        </is>
      </c>
      <c r="D14" s="15" t="inlineStr">
        <is>
          <t>routed; Warm; score 55; pool east; budget $15k-$50k</t>
        </is>
      </c>
      <c r="E14" s="15" t="inlineStr">
        <is>
          <t>AC-04</t>
        </is>
      </c>
      <c r="F14" s="16" t="inlineStr">
        <is>
          <t>event: routed, priority: Warm, score: 55, pool: east, route_type: territory, budget_band: $15k-$50k</t>
        </is>
      </c>
      <c r="G14" s="16" t="inlineStr">
        <is>
          <t>PASS</t>
        </is>
      </c>
      <c r="H14" s="16" t="inlineStr">
        <is>
          <t>Run tvo47hy, 5 Oct 2026</t>
        </is>
      </c>
    </row>
    <row r="15">
      <c r="A15" s="14" t="inlineStr">
        <is>
          <t>TC-10</t>
        </is>
      </c>
      <c r="B15" s="15" t="inlineStr">
        <is>
          <t>West lead for round-robin balance</t>
        </is>
      </c>
      <c r="C15" s="15" t="inlineStr">
        <is>
          <t>Arizona clinic, Cybersecurity, ASAP</t>
        </is>
      </c>
      <c r="D15" s="15" t="inlineStr">
        <is>
          <t>routed; Warm; score 55; pool west</t>
        </is>
      </c>
      <c r="E15" s="15" t="inlineStr">
        <is>
          <t>AC-04</t>
        </is>
      </c>
      <c r="F15" s="16" t="inlineStr">
        <is>
          <t>event: routed, priority: Warm, score: 55, pool: west, route_type: territory</t>
        </is>
      </c>
      <c r="G15" s="16" t="inlineStr">
        <is>
          <t>PASS</t>
        </is>
      </c>
      <c r="H15" s="16" t="inlineStr">
        <is>
          <t>Run tvo47hy, 5 Oct 2026</t>
        </is>
      </c>
    </row>
    <row r="16">
      <c r="A16" s="14" t="inlineStr">
        <is>
          <t>TC-11</t>
        </is>
      </c>
      <c r="B16" s="15" t="inlineStr">
        <is>
          <t>Missing email is rejected for review</t>
        </is>
      </c>
      <c r="C16" s="15" t="inlineStr">
        <is>
          <t>No email</t>
        </is>
      </c>
      <c r="D16" s="15" t="inlineStr">
        <is>
          <t>rejected; reason 'Missing email'</t>
        </is>
      </c>
      <c r="E16" s="15" t="inlineStr">
        <is>
          <t>AC-03</t>
        </is>
      </c>
      <c r="F16" s="16" t="inlineStr">
        <is>
          <t>event: rejected, reason contains: Missing email</t>
        </is>
      </c>
      <c r="G16" s="16" t="inlineStr">
        <is>
          <t>PASS</t>
        </is>
      </c>
      <c r="H16" s="16" t="inlineStr">
        <is>
          <t>Run tvo47hy, 5 Oct 2026</t>
        </is>
      </c>
    </row>
    <row r="17">
      <c r="A17" s="14" t="inlineStr">
        <is>
          <t>TC-12</t>
        </is>
      </c>
      <c r="B17" s="15" t="inlineStr">
        <is>
          <t>Invalid email format is rejected</t>
        </is>
      </c>
      <c r="C17" s="15" t="inlineStr">
        <is>
          <t>Email without an @</t>
        </is>
      </c>
      <c r="D17" s="15" t="inlineStr">
        <is>
          <t>rejected; reason starts 'Invalid email format'</t>
        </is>
      </c>
      <c r="E17" s="15" t="inlineStr">
        <is>
          <t>AC-03</t>
        </is>
      </c>
      <c r="F17" s="16" t="inlineStr">
        <is>
          <t>event: rejected, reason contains: Invalid email format</t>
        </is>
      </c>
      <c r="G17" s="16" t="inlineStr">
        <is>
          <t>PASS</t>
        </is>
      </c>
      <c r="H17" s="16" t="inlineStr">
        <is>
          <t>Run tvo47hy, 5 Oct 2026</t>
        </is>
      </c>
    </row>
    <row r="18">
      <c r="A18" s="14" t="inlineStr">
        <is>
          <t>TC-13</t>
        </is>
      </c>
      <c r="B18" s="15" t="inlineStr">
        <is>
          <t>Several missing fields are all reported</t>
        </is>
      </c>
      <c r="C18" s="15" t="inlineStr">
        <is>
          <t>No company, no service interest</t>
        </is>
      </c>
      <c r="D18" s="15" t="inlineStr">
        <is>
          <t>rejected; reason 'Missing company; Missing service interest'</t>
        </is>
      </c>
      <c r="E18" s="15" t="inlineStr">
        <is>
          <t>AC-03</t>
        </is>
      </c>
      <c r="F18" s="16" t="inlineStr">
        <is>
          <t>event: rejected, reason contains: Missing company; Missing service interest</t>
        </is>
      </c>
      <c r="G18" s="16" t="inlineStr">
        <is>
          <t>PASS</t>
        </is>
      </c>
      <c r="H18" s="16" t="inlineStr">
        <is>
          <t>Run tvo47hy, 5 Oct 2026</t>
        </is>
      </c>
    </row>
    <row r="19">
      <c r="A19" s="14" t="inlineStr">
        <is>
          <t>TC-14</t>
        </is>
      </c>
      <c r="B19" s="15" t="inlineStr">
        <is>
          <t>Same webhook delivered 3 times at once</t>
        </is>
      </c>
      <c r="C19" s="15" t="inlineStr">
        <is>
          <t>Same event_id sent 3 times in parallel</t>
        </is>
      </c>
      <c r="D19" s="15" t="inlineStr">
        <is>
          <t>exactly 1 routed and 2 duplicate_dropped</t>
        </is>
      </c>
      <c r="E19" s="15" t="inlineStr">
        <is>
          <t>AC-02</t>
        </is>
      </c>
      <c r="F19" s="16" t="inlineStr">
        <is>
          <t>routed: 1, duplicate_dropped: 2</t>
        </is>
      </c>
      <c r="G19" s="16" t="inlineStr">
        <is>
          <t>PASS</t>
        </is>
      </c>
      <c r="H19" s="16" t="inlineStr">
        <is>
          <t>Run tvo47hy, 5 Oct 2026</t>
        </is>
      </c>
    </row>
    <row r="20">
      <c r="A20" s="14" t="inlineStr">
        <is>
          <t>TC-15</t>
        </is>
      </c>
      <c r="B20" s="15" t="inlineStr">
        <is>
          <t>Repeat delivery without an event ID</t>
        </is>
      </c>
      <c r="C20" s="15" t="inlineStr">
        <is>
          <t>Identical payload with the same submitted_at, sent twice</t>
        </is>
      </c>
      <c r="D20" s="15" t="inlineStr">
        <is>
          <t>1 routed and 1 duplicate_dropped</t>
        </is>
      </c>
      <c r="E20" s="15" t="inlineStr">
        <is>
          <t>AC-02</t>
        </is>
      </c>
      <c r="F20" s="16" t="inlineStr">
        <is>
          <t>routed: 1, duplicate_dropped: 1</t>
        </is>
      </c>
      <c r="G20" s="16" t="inlineStr">
        <is>
          <t>PASS</t>
        </is>
      </c>
      <c r="H20" s="16" t="inlineStr">
        <is>
          <t>Run tvo47hy, 5 Oct 2026</t>
        </is>
      </c>
    </row>
    <row r="21">
      <c r="A21" s="14" t="inlineStr">
        <is>
          <t>TC-16</t>
        </is>
      </c>
      <c r="B21" s="15" t="inlineStr">
        <is>
          <t>Returning contact keeps the same rep</t>
        </is>
      </c>
      <c r="C21" s="15" t="inlineStr">
        <is>
          <t>Same email as TC-01, new event 20 seconds later</t>
        </is>
      </c>
      <c r="D21" s="15" t="inlineStr">
        <is>
          <t>routed; route returning; same rep as TC-01; crm_is_new false (HubSpot updated the existing contact)</t>
        </is>
      </c>
      <c r="E21" s="15" t="inlineStr">
        <is>
          <t>AC-01, AC-02</t>
        </is>
      </c>
      <c r="F21" s="16" t="inlineStr">
        <is>
          <t>event: routed, route_type: returning, crm_is_new: false, same rep as TC-01: rep_maya</t>
        </is>
      </c>
      <c r="G21" s="16" t="inlineStr">
        <is>
          <t>PASS</t>
        </is>
      </c>
      <c r="H21" s="16" t="inlineStr">
        <is>
          <t>Run tvo47hy, 5 Oct 2026</t>
        </is>
      </c>
    </row>
    <row r="22">
      <c r="A22" s="14" t="inlineStr">
        <is>
          <t>TC-17</t>
        </is>
      </c>
      <c r="B22" s="15" t="inlineStr">
        <is>
          <t>Wrong API key is refused</t>
        </is>
      </c>
      <c r="C22" s="15" t="inlineStr">
        <is>
          <t>X-API-Key: wrong value</t>
        </is>
      </c>
      <c r="D22" s="15" t="inlineStr">
        <is>
          <t>HTTP 401 or 403; nothing logged</t>
        </is>
      </c>
      <c r="E22" s="15" t="inlineStr">
        <is>
          <t>AC-09</t>
        </is>
      </c>
      <c r="F22" s="16" t="inlineStr">
        <is>
          <t>http_status: 403, log rows: 0</t>
        </is>
      </c>
      <c r="G22" s="16" t="inlineStr">
        <is>
          <t>PASS</t>
        </is>
      </c>
      <c r="H22" s="16" t="inlineStr">
        <is>
          <t>Run tvo47hy, 5 Oct 2026</t>
        </is>
      </c>
    </row>
    <row r="23">
      <c r="A23" s="14" t="inlineStr">
        <is>
          <t>TC-18</t>
        </is>
      </c>
      <c r="B23" s="15" t="inlineStr">
        <is>
          <t>SQL and HTML in input are stored as plain text</t>
        </is>
      </c>
      <c r="C23" s="15" t="inlineStr">
        <is>
          <t>Company "Robert'); DROP TABLE lead_log;--", message with a script tag</t>
        </is>
      </c>
      <c r="D23" s="15" t="inlineStr">
        <is>
          <t>routed; Cold; score 15; company stored exactly as sent; warning that it was kept out of HubSpot</t>
        </is>
      </c>
      <c r="E23" s="15" t="inlineStr">
        <is>
          <t>AC-01</t>
        </is>
      </c>
      <c r="F23" s="16" t="inlineStr">
        <is>
          <t>event: routed, priority: Cold, score: 15, pool: west, company: Robert'); DROP TABLE lead_log;--, warning contains: kept out of HubSpot</t>
        </is>
      </c>
      <c r="G23" s="16" t="inlineStr">
        <is>
          <t>PASS</t>
        </is>
      </c>
      <c r="H23" s="16" t="inlineStr">
        <is>
          <t>Run tvo47hy, 5 Oct 2026</t>
        </is>
      </c>
    </row>
    <row r="24">
      <c r="A24" s="14" t="inlineStr">
        <is>
          <t>TC-19</t>
        </is>
      </c>
      <c r="B24" s="15" t="inlineStr">
        <is>
          <t>Full name field is split</t>
        </is>
      </c>
      <c r="C24" s="15" t="inlineStr">
        <is>
          <t>name 'Chloe Anne Ramirez', budget '25k', Head of IT</t>
        </is>
      </c>
      <c r="D24" s="15" t="inlineStr">
        <is>
          <t>routed; Hot; score 90; first name Chloe; last name Anne Ramirez; budget $15k-$50k</t>
        </is>
      </c>
      <c r="E24" s="15" t="inlineStr">
        <is>
          <t>AC-01</t>
        </is>
      </c>
      <c r="F24" s="16" t="inlineStr">
        <is>
          <t>event: routed, priority: Hot, score: 90, pool: enterprise, first_name: Chloe, last_name: Anne Ramirez, budget_band: $15k-$50k</t>
        </is>
      </c>
      <c r="G24" s="16" t="inlineStr">
        <is>
          <t>PASS</t>
        </is>
      </c>
      <c r="H24" s="16" t="inlineStr">
        <is>
          <t>Run tvo47hy, 5 Oct 2026</t>
        </is>
      </c>
    </row>
    <row r="25">
      <c r="A25" s="14" t="inlineStr">
        <is>
          <t>TC-20</t>
        </is>
      </c>
      <c r="B25" s="15" t="inlineStr">
        <is>
          <t>Unknown state is flagged and still reaches a person</t>
        </is>
      </c>
      <c r="C25" s="15" t="inlineStr">
        <is>
          <t>state 'Narnia', country US</t>
        </is>
      </c>
      <c r="D25" s="15" t="inlineStr">
        <is>
          <t>routed; Warm; score 45; pool manager; rep Rachel Kim; warning 'Unknown US state'</t>
        </is>
      </c>
      <c r="E25" s="15" t="inlineStr">
        <is>
          <t>AC-03</t>
        </is>
      </c>
      <c r="F25" s="16" t="inlineStr">
        <is>
          <t>event: routed, priority: Warm, score: 45, pool: manager, route_type: no_territory, rep_id: rep_rachel, warning contains: Unknown US state</t>
        </is>
      </c>
      <c r="G25" s="16" t="inlineStr">
        <is>
          <t>PASS</t>
        </is>
      </c>
      <c r="H25" s="16" t="inlineStr">
        <is>
          <t>Run tvo47hy, 5 Oct 2026</t>
        </is>
      </c>
    </row>
    <row r="26">
      <c r="A26" s="14" t="inlineStr">
        <is>
          <t>TC-21</t>
        </is>
      </c>
      <c r="B26" s="15" t="inlineStr">
        <is>
          <t>Round-robin keeps every pool balanced</t>
        </is>
      </c>
      <c r="C26" s="15" t="inlineStr">
        <is>
          <t>All rotated leads in the run</t>
        </is>
      </c>
      <c r="D26" s="15" t="inlineStr">
        <is>
          <t>east, west and enterprise each split across 2 reps, difference of 1 at most</t>
        </is>
      </c>
      <c r="E26" s="15" t="inlineStr">
        <is>
          <t>AC-04</t>
        </is>
      </c>
      <c r="F26" s="16" t="inlineStr">
        <is>
          <t>east: Daniel Okafor 3, Maya Chen 2 | west: Priya Raman 2, Luis Ortega 2 | enterprise: James Adeyemi 2, Sarah Whitfield 2 | manager: Rachel Kim 2</t>
        </is>
      </c>
      <c r="G26" s="16" t="inlineStr">
        <is>
          <t>PASS</t>
        </is>
      </c>
      <c r="H26" s="16" t="inlineStr">
        <is>
          <t>Run tvo47hy, 5 Oct 2026</t>
        </is>
      </c>
    </row>
    <row r="27">
      <c r="A27" s="14" t="inlineStr">
        <is>
          <t>TC-22</t>
        </is>
      </c>
      <c r="B27" s="15" t="inlineStr">
        <is>
          <t>Webhook acknowledges every valid delivery with 202</t>
        </is>
      </c>
      <c r="C27" s="15" t="inlineStr">
        <is>
          <t>All 22 valid requests in the run</t>
        </is>
      </c>
      <c r="D27" s="15" t="inlineStr">
        <is>
          <t>22 of 22 requests return 202 Accepted</t>
        </is>
      </c>
      <c r="E27" s="15" t="inlineStr">
        <is>
          <t>AC-06</t>
        </is>
      </c>
      <c r="F27" s="16" t="inlineStr">
        <is>
          <t>22 of 22 returned 202</t>
        </is>
      </c>
      <c r="G27" s="16" t="inlineStr">
        <is>
          <t>PASS</t>
        </is>
      </c>
      <c r="H27" s="16" t="inlineStr">
        <is>
          <t>Run tvo47hy, 5 Oct 2026</t>
        </is>
      </c>
    </row>
  </sheetData>
  <mergeCells count="1">
    <mergeCell ref="A2:H2"/>
  </mergeCells>
  <conditionalFormatting sqref="G5:G27">
    <cfRule type="cellIs" priority="1" operator="equal" dxfId="0">
      <formula>"PASS"</formula>
    </cfRule>
    <cfRule type="cellIs" priority="2" operator="equal" dxfId="1">
      <formula>"FAIL"</formula>
    </cfRule>
  </conditionalFormatting>
  <dataValidations count="1">
    <dataValidation sqref="G6:G27" showDropDown="0" showInputMessage="1" showErrorMessage="0" allowBlank="1" promptTitle="Result" prompt="PASS or FAIL. Leave blank if not run yet." type="list">
      <formula1>"PASS,FAIL"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50" customWidth="1" min="3" max="3"/>
    <col width="52" customWidth="1" min="4" max="4"/>
    <col width="14" customWidth="1" min="5" max="5"/>
    <col width="40" customWidth="1" min="6" max="6"/>
    <col width="11" customWidth="1" min="7" max="7"/>
    <col width="24" customWidth="1" min="8" max="8"/>
    <col width="14" customWidth="1" min="9" max="9"/>
    <col width="12" customWidth="1" min="10" max="10"/>
  </cols>
  <sheetData>
    <row r="1">
      <c r="A1" s="1" t="inlineStr">
        <is>
          <t>Manual tests</t>
        </is>
      </c>
    </row>
    <row r="2" ht="30" customHeight="1">
      <c r="A2" s="11" t="inlineStr">
        <is>
          <t>Run each test, then fill in the yellow columns. Save a screenshot for each one under the Evidence file name (they double as portfolio images). Row 5 is an example; leave it as is.</t>
        </is>
      </c>
    </row>
    <row r="3"/>
    <row r="4">
      <c r="A4" s="12" t="inlineStr">
        <is>
          <t>Test ID</t>
        </is>
      </c>
      <c r="B4" s="12" t="inlineStr">
        <is>
          <t>Scenario</t>
        </is>
      </c>
      <c r="C4" s="12" t="inlineStr">
        <is>
          <t>Steps</t>
        </is>
      </c>
      <c r="D4" s="12" t="inlineStr">
        <is>
          <t>Expected result</t>
        </is>
      </c>
      <c r="E4" s="12" t="inlineStr">
        <is>
          <t>Acceptance criteria</t>
        </is>
      </c>
      <c r="F4" s="12" t="inlineStr">
        <is>
          <t>Actual result</t>
        </is>
      </c>
      <c r="G4" s="12" t="inlineStr">
        <is>
          <t>Pass/Fail</t>
        </is>
      </c>
      <c r="H4" s="12" t="inlineStr">
        <is>
          <t>Evidence file</t>
        </is>
      </c>
      <c r="I4" s="12" t="inlineStr">
        <is>
          <t>Tested by</t>
        </is>
      </c>
      <c r="J4" s="12" t="inlineStr">
        <is>
          <t>Date</t>
        </is>
      </c>
    </row>
    <row r="5">
      <c r="A5" s="13" t="inlineStr">
        <is>
          <t>EXAMPLE</t>
        </is>
      </c>
      <c r="B5" s="13" t="inlineStr">
        <is>
          <t>Web form submission end to end</t>
        </is>
      </c>
      <c r="C5" s="13" t="inlineStr">
        <is>
          <t>Submitted a Hot lead through the form</t>
        </is>
      </c>
      <c r="D5" s="13" t="inlineStr">
        <is>
          <t>#leads message within 60 seconds</t>
        </is>
      </c>
      <c r="E5" s="13" t="inlineStr">
        <is>
          <t>AC-01, AC-06</t>
        </is>
      </c>
      <c r="F5" s="13" t="inlineStr">
        <is>
          <t>Slack message after 4 seconds, contact created, email received</t>
        </is>
      </c>
      <c r="G5" s="13" t="inlineStr">
        <is>
          <t>PASS</t>
        </is>
      </c>
      <c r="H5" s="13" t="inlineStr">
        <is>
          <t>M-01-slack.png</t>
        </is>
      </c>
      <c r="I5" s="13" t="inlineStr">
        <is>
          <t>O. Ilesanmi</t>
        </is>
      </c>
      <c r="J5" s="13" t="inlineStr">
        <is>
          <t>2026-10-06</t>
        </is>
      </c>
    </row>
    <row r="6">
      <c r="A6" s="14" t="inlineStr">
        <is>
          <t>M-01</t>
        </is>
      </c>
      <c r="B6" s="15" t="inlineStr">
        <is>
          <t>Web form submission end to end</t>
        </is>
      </c>
      <c r="C6" s="15" t="inlineStr">
        <is>
          <t>Open http://localhost:5678/form/contact-sales in a browser. Submit a Hot lead with an email you have not used before (for example m01.yourname@formtest.example.com): 201-1000 employees, $50k+, Cybersecurity, ASAP, job title CTO.</t>
        </is>
      </c>
      <c r="D6" s="15" t="inlineStr">
        <is>
          <t>Thank-you message shows. Within 60 seconds: #leads message assigning an Enterprise rep, HubSpot contact with the Lead Router properties filled in, hot-lead email in that rep's inbox, lead_log row with event routed and source form.</t>
        </is>
      </c>
      <c r="E6" s="15" t="inlineStr">
        <is>
          <t>AC-01, AC-06</t>
        </is>
      </c>
      <c r="F6" s="16" t="inlineStr">
        <is>
          <t>Hot lead submitted in the form (Sherry Clarke, CTO, 201-1000, $50k+, Cybersecurity, ASAP). Within 7 seconds: score 105, Hot, Enterprise pool, assigned to Sarah Whitfield; #leads message posted; HubSpot contact 564682615518 created with the Lead Router group; hot-lead email sent to Sarah's inbox; routed row with source form.</t>
        </is>
      </c>
      <c r="G6" s="16" t="inlineStr">
        <is>
          <t>PASS</t>
        </is>
      </c>
      <c r="H6" s="16" t="inlineStr">
        <is>
          <t>n8n 02 execution 197; Neon lead_log</t>
        </is>
      </c>
      <c r="I6" s="16" t="inlineStr">
        <is>
          <t>O. Ilesanmi</t>
        </is>
      </c>
      <c r="J6" s="16" t="inlineStr">
        <is>
          <t>2026-10-05</t>
        </is>
      </c>
    </row>
    <row r="7">
      <c r="A7" s="14" t="inlineStr">
        <is>
          <t>M-02</t>
        </is>
      </c>
      <c r="B7" s="15" t="inlineStr">
        <is>
          <t>Google Sheet intake</t>
        </is>
      </c>
      <c r="C7" s="15" t="inlineStr">
        <is>
          <t>Copy the 3 rows from the sample_rows tab into the intake tab, leaving status blank. If you have pasted these rows before, change added_at on each one first. Wait up to 3 minutes.</t>
        </is>
      </c>
      <c r="D7" s="15" t="inlineStr">
        <is>
          <t>Grace Holloway: routed to an East rep (Warm, score 65). Tom Brennan: routed to a West rep (Warm, score 45). Lena Fischer: rejected, 'Missing email', plus a review alert in #lead-alerts. status, routed_to and processed_at are filled in on every row.</t>
        </is>
      </c>
      <c r="E7" s="15" t="inlineStr">
        <is>
          <t>AC-03, AC-06</t>
        </is>
      </c>
      <c r="F7" s="16" t="inlineStr">
        <is>
          <t>One poll picked up the 3 rows. Grace Holloway routed East to Maya Chen (Warm, 65); Tom Brennan routed West to Priya Raman (Warm, 45); Lena Fischer rejected (Missing email) with a review alert. status, routed_to and processed_at filled on every row.</t>
        </is>
      </c>
      <c r="G7" s="16" t="inlineStr">
        <is>
          <t>PASS</t>
        </is>
      </c>
      <c r="H7" s="16" t="inlineStr">
        <is>
          <t>n8n 02 executions 193-195; intake tab</t>
        </is>
      </c>
      <c r="I7" s="16" t="inlineStr">
        <is>
          <t>O. Ilesanmi (browser steps via Claude in Chrome)</t>
        </is>
      </c>
      <c r="J7" s="16" t="inlineStr">
        <is>
          <t>2026-10-05</t>
        </is>
      </c>
    </row>
    <row r="8">
      <c r="A8" s="14" t="inlineStr">
        <is>
          <t>M-03</t>
        </is>
      </c>
      <c r="B8" s="15" t="inlineStr">
        <is>
          <t>A rep marked unavailable is skipped</t>
        </is>
      </c>
      <c r="C8" s="15" t="inlineStr">
        <is>
          <t>In the reps tab set Maya Chen's available to FALSE. Run the 'Send one test lead' command twice with TEST=m03. Afterwards set Maya back to TRUE.</t>
        </is>
      </c>
      <c r="D8" s="15" t="inlineStr">
        <is>
          <t>Both leads go to Daniel Okafor.</t>
        </is>
      </c>
      <c r="E8" s="15" t="inlineStr">
        <is>
          <t>AC-05, AC-08</t>
        </is>
      </c>
      <c r="F8" s="16" t="inlineStr">
        <is>
          <t>Maya Chen set to FALSE: both m03 leads went to Daniel Okafor. Maya set back to TRUE.</t>
        </is>
      </c>
      <c r="G8" s="16" t="inlineStr">
        <is>
          <t>PASS</t>
        </is>
      </c>
      <c r="H8" s="16" t="inlineStr">
        <is>
          <t>n8n 02 executions 157, 159; Neon lead_log</t>
        </is>
      </c>
      <c r="I8" s="16" t="inlineStr">
        <is>
          <t>O. Ilesanmi (browser steps via Claude in Chrome)</t>
        </is>
      </c>
      <c r="J8" s="16" t="inlineStr">
        <is>
          <t>2026-10-05</t>
        </is>
      </c>
    </row>
    <row r="9">
      <c r="A9" s="14" t="inlineStr">
        <is>
          <t>M-04</t>
        </is>
      </c>
      <c r="B9" s="15" t="inlineStr">
        <is>
          <t>A pool with nobody available falls back to the manager</t>
        </is>
      </c>
      <c r="C9" s="15" t="inlineStr">
        <is>
          <t>Set Maya Chen and Daniel Okafor to FALSE. Run the 'Send one test lead' command with TEST=m04. Afterwards set both back to TRUE.</t>
        </is>
      </c>
      <c r="D9" s="15" t="inlineStr">
        <is>
          <t>Routed to Rachel Kim; routing reason mentions 'no available reps in the east pool'.</t>
        </is>
      </c>
      <c r="E9" s="15" t="inlineStr">
        <is>
          <t>AC-05</t>
        </is>
      </c>
      <c r="F9" s="16" t="inlineStr">
        <is>
          <t>Maya Chen and Daniel Okafor set to FALSE: routed to Rachel Kim (manager pool, fallback); reason ends '(no available reps in the east pool)'. Both set back to TRUE.</t>
        </is>
      </c>
      <c r="G9" s="16" t="inlineStr">
        <is>
          <t>PASS</t>
        </is>
      </c>
      <c r="H9" s="16" t="inlineStr">
        <is>
          <t>n8n 02 execution 162; Neon lead_log</t>
        </is>
      </c>
      <c r="I9" s="16" t="inlineStr">
        <is>
          <t>O. Ilesanmi (browser steps via Claude in Chrome)</t>
        </is>
      </c>
      <c r="J9" s="16" t="inlineStr">
        <is>
          <t>2026-10-05</t>
        </is>
      </c>
    </row>
    <row r="10">
      <c r="A10" s="14" t="inlineStr">
        <is>
          <t>M-05</t>
        </is>
      </c>
      <c r="B10" s="15" t="inlineStr">
        <is>
          <t>Scoring change takes effect without editing n8n</t>
        </is>
      </c>
      <c r="C10" s="15" t="inlineStr">
        <is>
          <t>In scoring_rules set R07 (ASAP) points to 40. Run the 'M-05 scoring lead' command (Oregon, 11-50 staff, $25,000, Cybersecurity, ASAP, business email, no job title). Afterwards set R07 back to 15.</t>
        </is>
      </c>
      <c r="D10" s="15" t="inlineStr">
        <is>
          <t>Score 90 instead of 65; priority Hot; routed to the Enterprise pool; Slack shows 'Buying now +40'.</t>
        </is>
      </c>
      <c r="E10" s="15" t="inlineStr">
        <is>
          <t>AC-08</t>
        </is>
      </c>
      <c r="F10" s="16" t="inlineStr">
        <is>
          <t>R07 set to 40: score 90, Hot, Enterprise pool (James Adeyemi); breakdown shows Buying now +40. R07 set back to 15.</t>
        </is>
      </c>
      <c r="G10" s="16" t="inlineStr">
        <is>
          <t>PASS</t>
        </is>
      </c>
      <c r="H10" s="16" t="inlineStr">
        <is>
          <t>n8n 02 execution 165; Neon lead_log</t>
        </is>
      </c>
      <c r="I10" s="16" t="inlineStr">
        <is>
          <t>O. Ilesanmi (browser steps via Claude in Chrome)</t>
        </is>
      </c>
      <c r="J10" s="16" t="inlineStr">
        <is>
          <t>2026-10-05</t>
        </is>
      </c>
    </row>
    <row r="11">
      <c r="A11" s="14" t="inlineStr">
        <is>
          <t>M-06</t>
        </is>
      </c>
      <c r="B11" s="15" t="inlineStr">
        <is>
          <t>CRM failure raises an alert and recovers cleanly</t>
        </is>
      </c>
      <c r="C11" s="15" t="inlineStr">
        <is>
          <t>Edit the 'Lead Router - HubSpot' credential and change one character of the key. Run the 'Send one test lead' command with TEST=m06. After the alert arrives, restore the key, open the failed execution from the alert link and click Retry.</t>
        </is>
      </c>
      <c r="D11" s="15" t="inlineStr">
        <is>
          <t>Within 1 minute: alert in #lead-alerts and by email naming the failed HubSpot step, with a link to the execution. After Retry: execution succeeds, exactly 1 HubSpot contact, 1 #leads message, 1 routed row in lead_log.</t>
        </is>
      </c>
      <c r="E11" s="15" t="inlineStr">
        <is>
          <t>AC-07, AC-01, AC-02</t>
        </is>
      </c>
      <c r="F11" s="16" t="inlineStr">
        <is>
          <t>HubSpot key broken: 02 failed at Find Contact in HubSpot (Authorization failed). The error handler alerted 6 seconds later in #lead-alerts and by email, naming the step with a link to the run. Key restored by pasting it from HubSpot (a first retry failed because editing n8n's masked key field does not restore it). Retry then left 1 routed row, 1 new contact and 1 #leads message.</t>
        </is>
      </c>
      <c r="G11" s="16" t="inlineStr">
        <is>
          <t>PASS</t>
        </is>
      </c>
      <c r="H11" s="16" t="inlineStr">
        <is>
          <t>n8n 02 executions 203 (failure), 207 (retry); 03 execution 204 (alert)</t>
        </is>
      </c>
      <c r="I11" s="16" t="inlineStr">
        <is>
          <t>O. Ilesanmi (key) with Claude in Chrome (send and retry)</t>
        </is>
      </c>
      <c r="J11" s="16" t="inlineStr">
        <is>
          <t>2026-10-05</t>
        </is>
      </c>
    </row>
    <row r="12">
      <c r="A12" s="14" t="inlineStr">
        <is>
          <t>M-07</t>
        </is>
      </c>
      <c r="B12" s="15" t="inlineStr">
        <is>
          <t>Alerts still arrive when Slack is down</t>
        </is>
      </c>
      <c r="C12" s="15" t="inlineStr">
        <is>
          <t>Edit the 'Lead Router - Slack' credential and break the token. Run the 'Send one test lead' command with TEST=m07. Then restore the token and retry the failed execution.</t>
        </is>
      </c>
      <c r="D12" s="15" t="inlineStr">
        <is>
          <t>Notify in Slack fails after 3 attempts; the failure email still arrives; after Retry the #leads message posts once.</t>
        </is>
      </c>
      <c r="E12" s="15" t="inlineStr">
        <is>
          <t>AC-07</t>
        </is>
      </c>
      <c r="F12" s="16" t="inlineStr">
        <is>
          <t>Not run (skipped on 5 Oct 2026).</t>
        </is>
      </c>
      <c r="G12" s="16" t="n"/>
      <c r="H12" s="16" t="inlineStr">
        <is>
          <t>M-07-email.png</t>
        </is>
      </c>
      <c r="I12" s="16" t="n"/>
      <c r="J12" s="16" t="n"/>
    </row>
    <row r="13">
      <c r="A13" s="14" t="inlineStr">
        <is>
          <t>M-08</t>
        </is>
      </c>
      <c r="B13" s="15" t="inlineStr">
        <is>
          <t>HubSpot record is complete and a partial resubmission loses nothing</t>
        </is>
      </c>
      <c r="C13" s="15" t="inlineStr">
        <is>
          <t>Open the M-01 contact in HubSpot. Then run the 'M-08 partial resubmission' command with the email, first name and company you used in M-01.</t>
        </is>
      </c>
      <c r="D13" s="15" t="inlineStr">
        <is>
          <t>Lead Router group shows score, priority, assigned rep, routing reason and source. After the resubmission the phone and job title are unchanged and the contact keeps the same rep (returning contact).</t>
        </is>
      </c>
      <c r="E13" s="15" t="inlineStr">
        <is>
          <t>AC-01</t>
        </is>
      </c>
      <c r="F13" s="16" t="inlineStr">
        <is>
          <t>The M-01 contact's Lead Router group shows score, priority, assigned rep, routing reason and source. The partial m08 resubmission updated the same contact (not new), kept with Sarah Whitfield as a returning contact; job title still CTO, phone unchanged.</t>
        </is>
      </c>
      <c r="G13" s="16" t="inlineStr">
        <is>
          <t>PASS</t>
        </is>
      </c>
      <c r="H13" s="16" t="inlineStr">
        <is>
          <t>n8n 02 execution 200; HubSpot contact 564682615518</t>
        </is>
      </c>
      <c r="I13" s="16" t="inlineStr">
        <is>
          <t>O. Ilesanmi (browser steps via Claude in Chrome)</t>
        </is>
      </c>
      <c r="J13" s="16" t="inlineStr">
        <is>
          <t>2026-10-05</t>
        </is>
      </c>
    </row>
    <row r="14">
      <c r="A14" s="14" t="inlineStr">
        <is>
          <t>M-09</t>
        </is>
      </c>
      <c r="B14" s="15" t="inlineStr">
        <is>
          <t>Audit trail links every lead to its execution</t>
        </is>
      </c>
      <c r="C14" s="15" t="inlineStr">
        <is>
          <t>In Adminer open the view v_lead_activity. Copy the execution_id of any row. In n8n open 02 - Process Lead &gt; Executions and find that ID.</t>
        </is>
      </c>
      <c r="D14" s="15" t="inlineStr">
        <is>
          <t>Every test event has one row; the execution opens and shows the lead's path through the workflow.</t>
        </is>
      </c>
      <c r="E14" s="15" t="inlineStr">
        <is>
          <t>AC-03, AC-07</t>
        </is>
      </c>
      <c r="F14" s="16" t="inlineStr">
        <is>
          <t>lead_log has 66 final rows for 66 distinct events, none without an execution_id. The m05 row's execution 165 shows that lead's full path.</t>
        </is>
      </c>
      <c r="G14" s="16" t="inlineStr">
        <is>
          <t>PASS</t>
        </is>
      </c>
      <c r="H14" s="16" t="inlineStr">
        <is>
          <t>Neon query on lead_log; n8n 02 execution 165</t>
        </is>
      </c>
      <c r="I14" s="16" t="inlineStr">
        <is>
          <t>O. Ilesanmi (browser steps via Claude in Chrome)</t>
        </is>
      </c>
      <c r="J14" s="16" t="inlineStr">
        <is>
          <t>2026-10-05</t>
        </is>
      </c>
    </row>
    <row r="15">
      <c r="A15" s="14" t="inlineStr">
        <is>
          <t>M-10</t>
        </is>
      </c>
      <c r="B15" s="15" t="inlineStr">
        <is>
          <t>Webhook without an API key is refused</t>
        </is>
      </c>
      <c r="C15" s="15" t="inlineStr">
        <is>
          <t>Run the 'M-10 no API key' command.</t>
        </is>
      </c>
      <c r="D15" s="15" t="inlineStr">
        <is>
          <t>HTTP 403; no lead_log row for that event.</t>
        </is>
      </c>
      <c r="E15" s="15" t="inlineStr">
        <is>
          <t>AC-09</t>
        </is>
      </c>
      <c r="F15" s="16" t="inlineStr">
        <is>
          <t>HTTP 403 without the API key; 0 lead_log rows for that event.</t>
        </is>
      </c>
      <c r="G15" s="16" t="inlineStr">
        <is>
          <t>PASS</t>
        </is>
      </c>
      <c r="H15" s="16" t="inlineStr">
        <is>
          <t>n8n 98 execution 166; Neon query</t>
        </is>
      </c>
      <c r="I15" s="16" t="inlineStr">
        <is>
          <t>O. Ilesanmi (browser steps via Claude in Chrome)</t>
        </is>
      </c>
      <c r="J15" s="16" t="inlineStr">
        <is>
          <t>2026-10-05</t>
        </is>
      </c>
    </row>
    <row r="16">
      <c r="A16" s="14" t="inlineStr">
        <is>
          <t>M-11</t>
        </is>
      </c>
      <c r="B16" s="15" t="inlineStr">
        <is>
          <t>A burst of simultaneous leads stays balanced</t>
        </is>
      </c>
      <c r="C16" s="15" t="inlineStr">
        <is>
          <t>Run the command in the setup guide's 'Load check' section, which sends 12 New York leads at the same instant and prints a run number. Then run the SQL query shown there in Adminer with that run number.</t>
        </is>
      </c>
      <c r="D16" s="15" t="inlineStr">
        <is>
          <t>All 12 routed; split 6 and 6 between Maya Chen and Daniel Okafor; no failed executions.</t>
        </is>
      </c>
      <c r="E16" s="15" t="inlineStr">
        <is>
          <t>AC-04</t>
        </is>
      </c>
      <c r="F16" s="16" t="inlineStr">
        <is>
          <t>Run 200622: 12 simultaneous New York leads, all HTTP 202, all routed, 6 to Maya Chen and 6 to Daniel Okafor, no failed executions.</t>
        </is>
      </c>
      <c r="G16" s="16" t="inlineStr">
        <is>
          <t>PASS</t>
        </is>
      </c>
      <c r="H16" s="16" t="inlineStr">
        <is>
          <t>n8n 98 execution 167; Neon query</t>
        </is>
      </c>
      <c r="I16" s="16" t="inlineStr">
        <is>
          <t>O. Ilesanmi (browser steps via Claude in Chrome)</t>
        </is>
      </c>
      <c r="J16" s="16" t="inlineStr">
        <is>
          <t>2026-10-05</t>
        </is>
      </c>
    </row>
  </sheetData>
  <mergeCells count="1">
    <mergeCell ref="A2:J2"/>
  </mergeCells>
  <conditionalFormatting sqref="G5:G16">
    <cfRule type="cellIs" priority="1" operator="equal" dxfId="0">
      <formula>"PASS"</formula>
    </cfRule>
    <cfRule type="cellIs" priority="2" operator="equal" dxfId="1">
      <formula>"FAIL"</formula>
    </cfRule>
  </conditionalFormatting>
  <dataValidations count="1">
    <dataValidation sqref="G6:G16" showDropDown="0" showInputMessage="1" showErrorMessage="0" allowBlank="1" promptTitle="Result" prompt="PASS or FAIL. Leave blank if not run yet." type="list">
      <formula1>"PASS,FAIL"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52" customWidth="1" min="2" max="2"/>
    <col width="8" customWidth="1" min="3" max="3"/>
    <col width="8" customWidth="1" min="4" max="4"/>
    <col width="8" customWidth="1" min="5" max="5"/>
    <col width="8" customWidth="1" min="6" max="6"/>
    <col width="8" customWidth="1" min="7" max="7"/>
    <col width="9" customWidth="1" min="8" max="8"/>
    <col width="9" customWidth="1" min="9" max="9"/>
    <col width="9" customWidth="1" min="10" max="10"/>
    <col width="9" customWidth="1" min="11" max="11"/>
    <col width="9" customWidth="1" min="12" max="12"/>
    <col width="10" customWidth="1" min="13" max="13"/>
  </cols>
  <sheetData>
    <row r="1">
      <c r="A1" s="1" t="inlineStr">
        <is>
          <t>Acceptance criteria traceability</t>
        </is>
      </c>
    </row>
    <row r="2">
      <c r="A2" s="2" t="inlineStr">
        <is>
          <t>Each criterion from the project brief, the tests that prove it, and their results. Everything on this sheet is calculated; nothing to fill in.</t>
        </is>
      </c>
    </row>
    <row r="3"/>
    <row r="4">
      <c r="A4" s="12" t="inlineStr">
        <is>
          <t>Criterion</t>
        </is>
      </c>
      <c r="B4" s="12" t="inlineStr">
        <is>
          <t>Description</t>
        </is>
      </c>
      <c r="C4" s="12" t="inlineStr">
        <is>
          <t>Test 1</t>
        </is>
      </c>
      <c r="D4" s="12" t="inlineStr">
        <is>
          <t>Test 2</t>
        </is>
      </c>
      <c r="E4" s="12" t="inlineStr">
        <is>
          <t>Test 3</t>
        </is>
      </c>
      <c r="F4" s="12" t="inlineStr">
        <is>
          <t>Test 4</t>
        </is>
      </c>
      <c r="G4" s="12" t="inlineStr">
        <is>
          <t>Test 5</t>
        </is>
      </c>
      <c r="H4" s="12" t="inlineStr">
        <is>
          <t>Result 1</t>
        </is>
      </c>
      <c r="I4" s="12" t="inlineStr">
        <is>
          <t>Result 2</t>
        </is>
      </c>
      <c r="J4" s="12" t="inlineStr">
        <is>
          <t>Result 3</t>
        </is>
      </c>
      <c r="K4" s="12" t="inlineStr">
        <is>
          <t>Result 4</t>
        </is>
      </c>
      <c r="L4" s="12" t="inlineStr">
        <is>
          <t>Result 5</t>
        </is>
      </c>
      <c r="M4" s="12" t="inlineStr">
        <is>
          <t>Status</t>
        </is>
      </c>
    </row>
    <row r="5">
      <c r="A5" s="14" t="inlineStr">
        <is>
          <t>AC-01</t>
        </is>
      </c>
      <c r="B5" s="15" t="inlineStr">
        <is>
          <t>Each valid lead creates or updates exactly one HubSpot contact</t>
        </is>
      </c>
      <c r="C5" s="15" t="inlineStr">
        <is>
          <t>TC-01</t>
        </is>
      </c>
      <c r="D5" s="15" t="inlineStr">
        <is>
          <t>TC-16</t>
        </is>
      </c>
      <c r="E5" s="15" t="inlineStr">
        <is>
          <t>M-01</t>
        </is>
      </c>
      <c r="F5" s="15" t="inlineStr">
        <is>
          <t>M-06</t>
        </is>
      </c>
      <c r="G5" s="15" t="inlineStr">
        <is>
          <t>M-08</t>
        </is>
      </c>
      <c r="H5" s="15">
        <f>IF(C5="","",IFERROR(INDEX(Automated!$G$6:$G$27,MATCH(C5,Automated!$A$6:$A$27,0))&amp;"",IFERROR(INDEX(Manual!$G$6:$G$16,MATCH(C5,Manual!$A$6:$A$16,0))&amp;"","?")))</f>
        <v/>
      </c>
      <c r="I5" s="15">
        <f>IF(D5="","",IFERROR(INDEX(Automated!$G$6:$G$27,MATCH(D5,Automated!$A$6:$A$27,0))&amp;"",IFERROR(INDEX(Manual!$G$6:$G$16,MATCH(D5,Manual!$A$6:$A$16,0))&amp;"","?")))</f>
        <v/>
      </c>
      <c r="J5" s="15">
        <f>IF(E5="","",IFERROR(INDEX(Automated!$G$6:$G$27,MATCH(E5,Automated!$A$6:$A$27,0))&amp;"",IFERROR(INDEX(Manual!$G$6:$G$16,MATCH(E5,Manual!$A$6:$A$16,0))&amp;"","?")))</f>
        <v/>
      </c>
      <c r="K5" s="15">
        <f>IF(F5="","",IFERROR(INDEX(Automated!$G$6:$G$27,MATCH(F5,Automated!$A$6:$A$27,0))&amp;"",IFERROR(INDEX(Manual!$G$6:$G$16,MATCH(F5,Manual!$A$6:$A$16,0))&amp;"","?")))</f>
        <v/>
      </c>
      <c r="L5" s="15">
        <f>IF(G5="","",IFERROR(INDEX(Automated!$G$6:$G$27,MATCH(G5,Automated!$A$6:$A$27,0))&amp;"",IFERROR(INDEX(Manual!$G$6:$G$16,MATCH(G5,Manual!$A$6:$A$16,0))&amp;"","?")))</f>
        <v/>
      </c>
      <c r="M5" s="14">
        <f>IF(COUNTIF(H5:L5,"FAIL")&gt;0,"Not met",IF(COUNTIF(H5:L5,"PASS")=COUNTA(C5:G5),"Met","Pending"))</f>
        <v/>
      </c>
    </row>
    <row r="6">
      <c r="A6" s="14" t="inlineStr">
        <is>
          <t>AC-02</t>
        </is>
      </c>
      <c r="B6" s="15" t="inlineStr">
        <is>
          <t>A repeated delivery creates no extra contacts, Slack messages or emails</t>
        </is>
      </c>
      <c r="C6" s="15" t="inlineStr">
        <is>
          <t>TC-14</t>
        </is>
      </c>
      <c r="D6" s="15" t="inlineStr">
        <is>
          <t>TC-15</t>
        </is>
      </c>
      <c r="E6" s="15" t="inlineStr">
        <is>
          <t>TC-16</t>
        </is>
      </c>
      <c r="F6" s="15" t="inlineStr">
        <is>
          <t>M-06</t>
        </is>
      </c>
      <c r="G6" s="15" t="n"/>
      <c r="H6" s="15">
        <f>IF(C6="","",IFERROR(INDEX(Automated!$G$6:$G$27,MATCH(C6,Automated!$A$6:$A$27,0))&amp;"",IFERROR(INDEX(Manual!$G$6:$G$16,MATCH(C6,Manual!$A$6:$A$16,0))&amp;"","?")))</f>
        <v/>
      </c>
      <c r="I6" s="15">
        <f>IF(D6="","",IFERROR(INDEX(Automated!$G$6:$G$27,MATCH(D6,Automated!$A$6:$A$27,0))&amp;"",IFERROR(INDEX(Manual!$G$6:$G$16,MATCH(D6,Manual!$A$6:$A$16,0))&amp;"","?")))</f>
        <v/>
      </c>
      <c r="J6" s="15">
        <f>IF(E6="","",IFERROR(INDEX(Automated!$G$6:$G$27,MATCH(E6,Automated!$A$6:$A$27,0))&amp;"",IFERROR(INDEX(Manual!$G$6:$G$16,MATCH(E6,Manual!$A$6:$A$16,0))&amp;"","?")))</f>
        <v/>
      </c>
      <c r="K6" s="15">
        <f>IF(F6="","",IFERROR(INDEX(Automated!$G$6:$G$27,MATCH(F6,Automated!$A$6:$A$27,0))&amp;"",IFERROR(INDEX(Manual!$G$6:$G$16,MATCH(F6,Manual!$A$6:$A$16,0))&amp;"","?")))</f>
        <v/>
      </c>
      <c r="L6" s="15">
        <f>IF(G6="","",IFERROR(INDEX(Automated!$G$6:$G$27,MATCH(G6,Automated!$A$6:$A$27,0))&amp;"",IFERROR(INDEX(Manual!$G$6:$G$16,MATCH(G6,Manual!$A$6:$A$16,0))&amp;"","?")))</f>
        <v/>
      </c>
      <c r="M6" s="14">
        <f>IF(COUNTIF(H6:L6,"FAIL")&gt;0,"Not met",IF(COUNTIF(H6:L6,"PASS")=COUNTA(C6:G6),"Met","Pending"))</f>
        <v/>
      </c>
    </row>
    <row r="7">
      <c r="A7" s="14" t="inlineStr">
        <is>
          <t>AC-03</t>
        </is>
      </c>
      <c r="B7" s="15" t="inlineStr">
        <is>
          <t>Each invalid lead produces one log row and one review alert, never a silent drop</t>
        </is>
      </c>
      <c r="C7" s="15" t="inlineStr">
        <is>
          <t>TC-11</t>
        </is>
      </c>
      <c r="D7" s="15" t="inlineStr">
        <is>
          <t>TC-12</t>
        </is>
      </c>
      <c r="E7" s="15" t="inlineStr">
        <is>
          <t>TC-13</t>
        </is>
      </c>
      <c r="F7" s="15" t="inlineStr">
        <is>
          <t>TC-20</t>
        </is>
      </c>
      <c r="G7" s="15" t="inlineStr">
        <is>
          <t>M-02</t>
        </is>
      </c>
      <c r="H7" s="15">
        <f>IF(C7="","",IFERROR(INDEX(Automated!$G$6:$G$27,MATCH(C7,Automated!$A$6:$A$27,0))&amp;"",IFERROR(INDEX(Manual!$G$6:$G$16,MATCH(C7,Manual!$A$6:$A$16,0))&amp;"","?")))</f>
        <v/>
      </c>
      <c r="I7" s="15">
        <f>IF(D7="","",IFERROR(INDEX(Automated!$G$6:$G$27,MATCH(D7,Automated!$A$6:$A$27,0))&amp;"",IFERROR(INDEX(Manual!$G$6:$G$16,MATCH(D7,Manual!$A$6:$A$16,0))&amp;"","?")))</f>
        <v/>
      </c>
      <c r="J7" s="15">
        <f>IF(E7="","",IFERROR(INDEX(Automated!$G$6:$G$27,MATCH(E7,Automated!$A$6:$A$27,0))&amp;"",IFERROR(INDEX(Manual!$G$6:$G$16,MATCH(E7,Manual!$A$6:$A$16,0))&amp;"","?")))</f>
        <v/>
      </c>
      <c r="K7" s="15">
        <f>IF(F7="","",IFERROR(INDEX(Automated!$G$6:$G$27,MATCH(F7,Automated!$A$6:$A$27,0))&amp;"",IFERROR(INDEX(Manual!$G$6:$G$16,MATCH(F7,Manual!$A$6:$A$16,0))&amp;"","?")))</f>
        <v/>
      </c>
      <c r="L7" s="15">
        <f>IF(G7="","",IFERROR(INDEX(Automated!$G$6:$G$27,MATCH(G7,Automated!$A$6:$A$27,0))&amp;"",IFERROR(INDEX(Manual!$G$6:$G$16,MATCH(G7,Manual!$A$6:$A$16,0))&amp;"","?")))</f>
        <v/>
      </c>
      <c r="M7" s="14">
        <f>IF(COUNTIF(H7:L7,"FAIL")&gt;0,"Not met",IF(COUNTIF(H7:L7,"PASS")=COUNTA(C7:G7),"Met","Pending"))</f>
        <v/>
      </c>
    </row>
    <row r="8">
      <c r="A8" s="14" t="inlineStr">
        <is>
          <t>AC-04</t>
        </is>
      </c>
      <c r="B8" s="15" t="inlineStr">
        <is>
          <t>Available reps in a pool receive leads evenly (difference of 1 at most)</t>
        </is>
      </c>
      <c r="C8" s="15" t="inlineStr">
        <is>
          <t>TC-07</t>
        </is>
      </c>
      <c r="D8" s="15" t="inlineStr">
        <is>
          <t>TC-21</t>
        </is>
      </c>
      <c r="E8" s="15" t="inlineStr">
        <is>
          <t>M-11</t>
        </is>
      </c>
      <c r="F8" s="15" t="n"/>
      <c r="G8" s="15" t="n"/>
      <c r="H8" s="15">
        <f>IF(C8="","",IFERROR(INDEX(Automated!$G$6:$G$27,MATCH(C8,Automated!$A$6:$A$27,0))&amp;"",IFERROR(INDEX(Manual!$G$6:$G$16,MATCH(C8,Manual!$A$6:$A$16,0))&amp;"","?")))</f>
        <v/>
      </c>
      <c r="I8" s="15">
        <f>IF(D8="","",IFERROR(INDEX(Automated!$G$6:$G$27,MATCH(D8,Automated!$A$6:$A$27,0))&amp;"",IFERROR(INDEX(Manual!$G$6:$G$16,MATCH(D8,Manual!$A$6:$A$16,0))&amp;"","?")))</f>
        <v/>
      </c>
      <c r="J8" s="15">
        <f>IF(E8="","",IFERROR(INDEX(Automated!$G$6:$G$27,MATCH(E8,Automated!$A$6:$A$27,0))&amp;"",IFERROR(INDEX(Manual!$G$6:$G$16,MATCH(E8,Manual!$A$6:$A$16,0))&amp;"","?")))</f>
        <v/>
      </c>
      <c r="K8" s="15">
        <f>IF(F8="","",IFERROR(INDEX(Automated!$G$6:$G$27,MATCH(F8,Automated!$A$6:$A$27,0))&amp;"",IFERROR(INDEX(Manual!$G$6:$G$16,MATCH(F8,Manual!$A$6:$A$16,0))&amp;"","?")))</f>
        <v/>
      </c>
      <c r="L8" s="15">
        <f>IF(G8="","",IFERROR(INDEX(Automated!$G$6:$G$27,MATCH(G8,Automated!$A$6:$A$27,0))&amp;"",IFERROR(INDEX(Manual!$G$6:$G$16,MATCH(G8,Manual!$A$6:$A$16,0))&amp;"","?")))</f>
        <v/>
      </c>
      <c r="M8" s="14">
        <f>IF(COUNTIF(H8:L8,"FAIL")&gt;0,"Not met",IF(COUNTIF(H8:L8,"PASS")=COUNTA(C8:G8),"Met","Pending"))</f>
        <v/>
      </c>
    </row>
    <row r="9">
      <c r="A9" s="14" t="inlineStr">
        <is>
          <t>AC-05</t>
        </is>
      </c>
      <c r="B9" s="15" t="inlineStr">
        <is>
          <t>A rep marked unavailable receives no new leads</t>
        </is>
      </c>
      <c r="C9" s="15" t="inlineStr">
        <is>
          <t>M-03</t>
        </is>
      </c>
      <c r="D9" s="15" t="inlineStr">
        <is>
          <t>M-04</t>
        </is>
      </c>
      <c r="E9" s="15" t="n"/>
      <c r="F9" s="15" t="n"/>
      <c r="G9" s="15" t="n"/>
      <c r="H9" s="15">
        <f>IF(C9="","",IFERROR(INDEX(Automated!$G$6:$G$27,MATCH(C9,Automated!$A$6:$A$27,0))&amp;"",IFERROR(INDEX(Manual!$G$6:$G$16,MATCH(C9,Manual!$A$6:$A$16,0))&amp;"","?")))</f>
        <v/>
      </c>
      <c r="I9" s="15">
        <f>IF(D9="","",IFERROR(INDEX(Automated!$G$6:$G$27,MATCH(D9,Automated!$A$6:$A$27,0))&amp;"",IFERROR(INDEX(Manual!$G$6:$G$16,MATCH(D9,Manual!$A$6:$A$16,0))&amp;"","?")))</f>
        <v/>
      </c>
      <c r="J9" s="15">
        <f>IF(E9="","",IFERROR(INDEX(Automated!$G$6:$G$27,MATCH(E9,Automated!$A$6:$A$27,0))&amp;"",IFERROR(INDEX(Manual!$G$6:$G$16,MATCH(E9,Manual!$A$6:$A$16,0))&amp;"","?")))</f>
        <v/>
      </c>
      <c r="K9" s="15">
        <f>IF(F9="","",IFERROR(INDEX(Automated!$G$6:$G$27,MATCH(F9,Automated!$A$6:$A$27,0))&amp;"",IFERROR(INDEX(Manual!$G$6:$G$16,MATCH(F9,Manual!$A$6:$A$16,0))&amp;"","?")))</f>
        <v/>
      </c>
      <c r="L9" s="15">
        <f>IF(G9="","",IFERROR(INDEX(Automated!$G$6:$G$27,MATCH(G9,Automated!$A$6:$A$27,0))&amp;"",IFERROR(INDEX(Manual!$G$6:$G$16,MATCH(G9,Manual!$A$6:$A$16,0))&amp;"","?")))</f>
        <v/>
      </c>
      <c r="M9" s="14">
        <f>IF(COUNTIF(H9:L9,"FAIL")&gt;0,"Not met",IF(COUNTIF(H9:L9,"PASS")=COUNTA(C9:G9),"Met","Pending"))</f>
        <v/>
      </c>
    </row>
    <row r="10">
      <c r="A10" s="14" t="inlineStr">
        <is>
          <t>AC-06</t>
        </is>
      </c>
      <c r="B10" s="15" t="inlineStr">
        <is>
          <t>The rep is notified within 60 s (form, webhook) or 3 min (sheet)</t>
        </is>
      </c>
      <c r="C10" s="15" t="inlineStr">
        <is>
          <t>TC-22</t>
        </is>
      </c>
      <c r="D10" s="15" t="inlineStr">
        <is>
          <t>M-01</t>
        </is>
      </c>
      <c r="E10" s="15" t="inlineStr">
        <is>
          <t>M-02</t>
        </is>
      </c>
      <c r="F10" s="15" t="n"/>
      <c r="G10" s="15" t="n"/>
      <c r="H10" s="15">
        <f>IF(C10="","",IFERROR(INDEX(Automated!$G$6:$G$27,MATCH(C10,Automated!$A$6:$A$27,0))&amp;"",IFERROR(INDEX(Manual!$G$6:$G$16,MATCH(C10,Manual!$A$6:$A$16,0))&amp;"","?")))</f>
        <v/>
      </c>
      <c r="I10" s="15">
        <f>IF(D10="","",IFERROR(INDEX(Automated!$G$6:$G$27,MATCH(D10,Automated!$A$6:$A$27,0))&amp;"",IFERROR(INDEX(Manual!$G$6:$G$16,MATCH(D10,Manual!$A$6:$A$16,0))&amp;"","?")))</f>
        <v/>
      </c>
      <c r="J10" s="15">
        <f>IF(E10="","",IFERROR(INDEX(Automated!$G$6:$G$27,MATCH(E10,Automated!$A$6:$A$27,0))&amp;"",IFERROR(INDEX(Manual!$G$6:$G$16,MATCH(E10,Manual!$A$6:$A$16,0))&amp;"","?")))</f>
        <v/>
      </c>
      <c r="K10" s="15">
        <f>IF(F10="","",IFERROR(INDEX(Automated!$G$6:$G$27,MATCH(F10,Automated!$A$6:$A$27,0))&amp;"",IFERROR(INDEX(Manual!$G$6:$G$16,MATCH(F10,Manual!$A$6:$A$16,0))&amp;"","?")))</f>
        <v/>
      </c>
      <c r="L10" s="15">
        <f>IF(G10="","",IFERROR(INDEX(Automated!$G$6:$G$27,MATCH(G10,Automated!$A$6:$A$27,0))&amp;"",IFERROR(INDEX(Manual!$G$6:$G$16,MATCH(G10,Manual!$A$6:$A$16,0))&amp;"","?")))</f>
        <v/>
      </c>
      <c r="M10" s="14">
        <f>IF(COUNTIF(H10:L10,"FAIL")&gt;0,"Not met",IF(COUNTIF(H10:L10,"PASS")=COUNTA(C10:G10),"Met","Pending"))</f>
        <v/>
      </c>
    </row>
    <row r="11">
      <c r="A11" s="14" t="inlineStr">
        <is>
          <t>AC-07</t>
        </is>
      </c>
      <c r="B11" s="15" t="inlineStr">
        <is>
          <t>A failed run raises an alert within 1 minute with a link to the execution</t>
        </is>
      </c>
      <c r="C11" s="15" t="inlineStr">
        <is>
          <t>M-06</t>
        </is>
      </c>
      <c r="D11" s="15" t="inlineStr">
        <is>
          <t>M-07</t>
        </is>
      </c>
      <c r="E11" s="15" t="inlineStr">
        <is>
          <t>M-09</t>
        </is>
      </c>
      <c r="F11" s="15" t="n"/>
      <c r="G11" s="15" t="n"/>
      <c r="H11" s="15">
        <f>IF(C11="","",IFERROR(INDEX(Automated!$G$6:$G$27,MATCH(C11,Automated!$A$6:$A$27,0))&amp;"",IFERROR(INDEX(Manual!$G$6:$G$16,MATCH(C11,Manual!$A$6:$A$16,0))&amp;"","?")))</f>
        <v/>
      </c>
      <c r="I11" s="15">
        <f>IF(D11="","",IFERROR(INDEX(Automated!$G$6:$G$27,MATCH(D11,Automated!$A$6:$A$27,0))&amp;"",IFERROR(INDEX(Manual!$G$6:$G$16,MATCH(D11,Manual!$A$6:$A$16,0))&amp;"","?")))</f>
        <v/>
      </c>
      <c r="J11" s="15">
        <f>IF(E11="","",IFERROR(INDEX(Automated!$G$6:$G$27,MATCH(E11,Automated!$A$6:$A$27,0))&amp;"",IFERROR(INDEX(Manual!$G$6:$G$16,MATCH(E11,Manual!$A$6:$A$16,0))&amp;"","?")))</f>
        <v/>
      </c>
      <c r="K11" s="15">
        <f>IF(F11="","",IFERROR(INDEX(Automated!$G$6:$G$27,MATCH(F11,Automated!$A$6:$A$27,0))&amp;"",IFERROR(INDEX(Manual!$G$6:$G$16,MATCH(F11,Manual!$A$6:$A$16,0))&amp;"","?")))</f>
        <v/>
      </c>
      <c r="L11" s="15">
        <f>IF(G11="","",IFERROR(INDEX(Automated!$G$6:$G$27,MATCH(G11,Automated!$A$6:$A$27,0))&amp;"",IFERROR(INDEX(Manual!$G$6:$G$16,MATCH(G11,Manual!$A$6:$A$16,0))&amp;"","?")))</f>
        <v/>
      </c>
      <c r="M11" s="14">
        <f>IF(COUNTIF(H11:L11,"FAIL")&gt;0,"Not met",IF(COUNTIF(H11:L11,"PASS")=COUNTA(C11:G11),"Met","Pending"))</f>
        <v/>
      </c>
    </row>
    <row r="12">
      <c r="A12" s="14" t="inlineStr">
        <is>
          <t>AC-08</t>
        </is>
      </c>
      <c r="B12" s="15" t="inlineStr">
        <is>
          <t>Scoring points and rep availability change in the sheet without editing n8n</t>
        </is>
      </c>
      <c r="C12" s="15" t="inlineStr">
        <is>
          <t>M-03</t>
        </is>
      </c>
      <c r="D12" s="15" t="inlineStr">
        <is>
          <t>M-05</t>
        </is>
      </c>
      <c r="E12" s="15" t="n"/>
      <c r="F12" s="15" t="n"/>
      <c r="G12" s="15" t="n"/>
      <c r="H12" s="15">
        <f>IF(C12="","",IFERROR(INDEX(Automated!$G$6:$G$27,MATCH(C12,Automated!$A$6:$A$27,0))&amp;"",IFERROR(INDEX(Manual!$G$6:$G$16,MATCH(C12,Manual!$A$6:$A$16,0))&amp;"","?")))</f>
        <v/>
      </c>
      <c r="I12" s="15">
        <f>IF(D12="","",IFERROR(INDEX(Automated!$G$6:$G$27,MATCH(D12,Automated!$A$6:$A$27,0))&amp;"",IFERROR(INDEX(Manual!$G$6:$G$16,MATCH(D12,Manual!$A$6:$A$16,0))&amp;"","?")))</f>
        <v/>
      </c>
      <c r="J12" s="15">
        <f>IF(E12="","",IFERROR(INDEX(Automated!$G$6:$G$27,MATCH(E12,Automated!$A$6:$A$27,0))&amp;"",IFERROR(INDEX(Manual!$G$6:$G$16,MATCH(E12,Manual!$A$6:$A$16,0))&amp;"","?")))</f>
        <v/>
      </c>
      <c r="K12" s="15">
        <f>IF(F12="","",IFERROR(INDEX(Automated!$G$6:$G$27,MATCH(F12,Automated!$A$6:$A$27,0))&amp;"",IFERROR(INDEX(Manual!$G$6:$G$16,MATCH(F12,Manual!$A$6:$A$16,0))&amp;"","?")))</f>
        <v/>
      </c>
      <c r="L12" s="15">
        <f>IF(G12="","",IFERROR(INDEX(Automated!$G$6:$G$27,MATCH(G12,Automated!$A$6:$A$27,0))&amp;"",IFERROR(INDEX(Manual!$G$6:$G$16,MATCH(G12,Manual!$A$6:$A$16,0))&amp;"","?")))</f>
        <v/>
      </c>
      <c r="M12" s="14">
        <f>IF(COUNTIF(H12:L12,"FAIL")&gt;0,"Not met",IF(COUNTIF(H12:L12,"PASS")=COUNTA(C12:G12),"Met","Pending"))</f>
        <v/>
      </c>
    </row>
    <row r="13">
      <c r="A13" s="14" t="inlineStr">
        <is>
          <t>AC-09</t>
        </is>
      </c>
      <c r="B13" s="15" t="inlineStr">
        <is>
          <t>Webhook calls without the correct API key are rejected</t>
        </is>
      </c>
      <c r="C13" s="15" t="inlineStr">
        <is>
          <t>TC-17</t>
        </is>
      </c>
      <c r="D13" s="15" t="inlineStr">
        <is>
          <t>M-10</t>
        </is>
      </c>
      <c r="E13" s="15" t="n"/>
      <c r="F13" s="15" t="n"/>
      <c r="G13" s="15" t="n"/>
      <c r="H13" s="15">
        <f>IF(C13="","",IFERROR(INDEX(Automated!$G$6:$G$27,MATCH(C13,Automated!$A$6:$A$27,0))&amp;"",IFERROR(INDEX(Manual!$G$6:$G$16,MATCH(C13,Manual!$A$6:$A$16,0))&amp;"","?")))</f>
        <v/>
      </c>
      <c r="I13" s="15">
        <f>IF(D13="","",IFERROR(INDEX(Automated!$G$6:$G$27,MATCH(D13,Automated!$A$6:$A$27,0))&amp;"",IFERROR(INDEX(Manual!$G$6:$G$16,MATCH(D13,Manual!$A$6:$A$16,0))&amp;"","?")))</f>
        <v/>
      </c>
      <c r="J13" s="15">
        <f>IF(E13="","",IFERROR(INDEX(Automated!$G$6:$G$27,MATCH(E13,Automated!$A$6:$A$27,0))&amp;"",IFERROR(INDEX(Manual!$G$6:$G$16,MATCH(E13,Manual!$A$6:$A$16,0))&amp;"","?")))</f>
        <v/>
      </c>
      <c r="K13" s="15">
        <f>IF(F13="","",IFERROR(INDEX(Automated!$G$6:$G$27,MATCH(F13,Automated!$A$6:$A$27,0))&amp;"",IFERROR(INDEX(Manual!$G$6:$G$16,MATCH(F13,Manual!$A$6:$A$16,0))&amp;"","?")))</f>
        <v/>
      </c>
      <c r="L13" s="15">
        <f>IF(G13="","",IFERROR(INDEX(Automated!$G$6:$G$27,MATCH(G13,Automated!$A$6:$A$27,0))&amp;"",IFERROR(INDEX(Manual!$G$6:$G$16,MATCH(G13,Manual!$A$6:$A$16,0))&amp;"","?")))</f>
        <v/>
      </c>
      <c r="M13" s="14">
        <f>IF(COUNTIF(H13:L13,"FAIL")&gt;0,"Not met",IF(COUNTIF(H13:L13,"PASS")=COUNTA(C13:G13),"Met","Pending"))</f>
        <v/>
      </c>
    </row>
  </sheetData>
  <mergeCells count="1">
    <mergeCell ref="A2:M2"/>
  </mergeCells>
  <conditionalFormatting sqref="H5:L13">
    <cfRule type="cellIs" priority="1" operator="equal" dxfId="0">
      <formula>"PASS"</formula>
    </cfRule>
    <cfRule type="cellIs" priority="2" operator="equal" dxfId="1">
      <formula>"FAIL"</formula>
    </cfRule>
  </conditionalFormatting>
  <conditionalFormatting sqref="M5:M13">
    <cfRule type="cellIs" priority="3" operator="equal" dxfId="0">
      <formula>"Met"</formula>
    </cfRule>
    <cfRule type="cellIs" priority="4" operator="equal" dxfId="1">
      <formula>"Not met"</formula>
    </cfRule>
    <cfRule type="cellIs" priority="5" operator="equal" dxfId="2">
      <formula>"Pending"</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2026-10-05T19:54:23Z</dcterms:created>
  <dcterms:modified xmlns:dcterms="http://purl.org/dc/terms/" xmlns:xsi="http://www.w3.org/2001/XMLSchema-instance" xsi:type="dcterms:W3CDTF">2026-10-06T14:55:58Z</dcterms:modified>
</cp:coreProperties>
</file>